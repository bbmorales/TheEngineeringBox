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1" defaultThemeVersion="124226"/>
  <bookViews>
    <workbookView xWindow="360" yWindow="120" windowWidth="14355" windowHeight="4680"/>
  </bookViews>
  <sheets>
    <sheet name="Plan1" sheetId="1" r:id="rId1"/>
    <sheet name="Plan2" sheetId="2" r:id="rId2"/>
    <sheet name="Plan3" sheetId="3" r:id="rId3"/>
  </sheets>
  <functionGroups builtInGroupCount="17"/>
  <externalReferences>
    <externalReference r:id="rId4"/>
    <externalReference r:id="rId5"/>
  </externalReferences>
  <calcPr calcId="145621"/>
</workbook>
</file>

<file path=xl/calcChain.xml><?xml version="1.0" encoding="utf-8"?>
<calcChain xmlns="http://schemas.openxmlformats.org/spreadsheetml/2006/main">
  <c r="B35" i="1" l="1"/>
  <c r="B17" i="1"/>
  <c r="B30" i="1"/>
  <c r="B45" i="1"/>
  <c r="B7" i="1"/>
  <c r="B29" i="1"/>
  <c r="B46" i="1"/>
  <c r="B28" i="1"/>
  <c r="B6" i="1"/>
  <c r="B39" i="1"/>
  <c r="B33" i="1"/>
  <c r="B42" i="1"/>
  <c r="B36" i="1"/>
  <c r="B40" i="1"/>
  <c r="B12" i="1"/>
  <c r="B32" i="1"/>
  <c r="B31" i="1"/>
  <c r="B8" i="1"/>
  <c r="B41" i="1"/>
  <c r="B34" i="1"/>
  <c r="B37" i="1"/>
  <c r="B13" i="1"/>
  <c r="B18" i="1"/>
  <c r="B62" i="1"/>
  <c r="B63" i="1"/>
  <c r="B56" i="1"/>
  <c r="B52" i="1"/>
  <c r="B51" i="1"/>
  <c r="B23" i="1"/>
  <c r="B61" i="1"/>
  <c r="B60" i="1"/>
  <c r="B59" i="1"/>
  <c r="B58" i="1"/>
  <c r="B57" i="1"/>
  <c r="B44" i="1"/>
  <c r="B43" i="1"/>
  <c r="B50" i="1"/>
  <c r="B38" i="1"/>
  <c r="B19" i="1"/>
  <c r="B49" i="1"/>
  <c r="B22" i="1"/>
  <c r="B48" i="1"/>
  <c r="B21" i="1"/>
  <c r="B47" i="1"/>
  <c r="B20" i="1"/>
</calcChain>
</file>

<file path=xl/sharedStrings.xml><?xml version="1.0" encoding="utf-8"?>
<sst xmlns="http://schemas.openxmlformats.org/spreadsheetml/2006/main" count="67" uniqueCount="55">
  <si>
    <t>Function</t>
  </si>
  <si>
    <t>Value</t>
  </si>
  <si>
    <t>gravity</t>
  </si>
  <si>
    <t>molarGasConstant</t>
  </si>
  <si>
    <t>THE ENGINEERING BOX - SANDBOX</t>
  </si>
  <si>
    <t>This spreadsheet is for testing only</t>
  </si>
  <si>
    <t>stefanBoltzmann</t>
  </si>
  <si>
    <t>CONSTANTS</t>
  </si>
  <si>
    <t>DIMENSIONLESS NUMBERS</t>
  </si>
  <si>
    <t>archimedesNumber</t>
  </si>
  <si>
    <t>reynoldsNumber</t>
  </si>
  <si>
    <t>Physical properties and corelations</t>
  </si>
  <si>
    <t>idealGasDensity</t>
  </si>
  <si>
    <t>feetToMeter</t>
  </si>
  <si>
    <t>meterToFeet</t>
  </si>
  <si>
    <t>meterToInch</t>
  </si>
  <si>
    <t>inchToMeter</t>
  </si>
  <si>
    <t>airViscosity</t>
  </si>
  <si>
    <t>Unit conversion</t>
  </si>
  <si>
    <t>m3ToNm3</t>
  </si>
  <si>
    <t>Nm3ToM3</t>
  </si>
  <si>
    <t>kgToNm3</t>
  </si>
  <si>
    <t>NLToM3</t>
  </si>
  <si>
    <t>paToMbar</t>
  </si>
  <si>
    <t>paToMmH2O</t>
  </si>
  <si>
    <t>paToAtm</t>
  </si>
  <si>
    <t>atmToPa</t>
  </si>
  <si>
    <t>paToBar</t>
  </si>
  <si>
    <t>barToPa</t>
  </si>
  <si>
    <t>kelvinToCelsius</t>
  </si>
  <si>
    <t>celsiusToKelvin</t>
  </si>
  <si>
    <t>mmH2OToPa</t>
  </si>
  <si>
    <t>KelvinToRankine</t>
  </si>
  <si>
    <t>RankineToCelsius</t>
  </si>
  <si>
    <t>FahrenheitToCelsius</t>
  </si>
  <si>
    <t>FahrenheitToKelvin</t>
  </si>
  <si>
    <t>specificSurfaceArea</t>
  </si>
  <si>
    <t>PressureLossErgun</t>
  </si>
  <si>
    <t>arrheniusEquation</t>
  </si>
  <si>
    <t>fluidMassFlow</t>
  </si>
  <si>
    <t>fluidVelocity</t>
  </si>
  <si>
    <t>PasToCentipoise</t>
  </si>
  <si>
    <t>centipoiseToPas</t>
  </si>
  <si>
    <t>PaToPsi</t>
  </si>
  <si>
    <t>PsiToPa</t>
  </si>
  <si>
    <t>Geometry</t>
  </si>
  <si>
    <t>circleArea</t>
  </si>
  <si>
    <t>circlePerimeter</t>
  </si>
  <si>
    <t>ellipseArea</t>
  </si>
  <si>
    <t>ellipsePerimeter</t>
  </si>
  <si>
    <t>cylinderVolume</t>
  </si>
  <si>
    <t>cylinderArea</t>
  </si>
  <si>
    <t>sphereVolume</t>
  </si>
  <si>
    <t>sphereArea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</si>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</sst>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les/AppData/Roaming/Microsoft/Suplementos/The_Engineering_Box_v1.01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les/AppData/Roaming/Microsoft/Suplementos/The_Engineering_Box_v1.0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The_Engineering_Box_v1.01"/>
    </sheetNames>
    <definedNames>
      <definedName name="airViscosity"/>
      <definedName name="archimedesNumber"/>
      <definedName name="atmToPa"/>
      <definedName name="barToPa"/>
      <definedName name="CelsiusToKelvin"/>
      <definedName name="feetToMeter"/>
      <definedName name="gravity"/>
      <definedName name="idealGasDensity"/>
      <definedName name="inchToMeter"/>
      <definedName name="KelvinToCelsius"/>
      <definedName name="KgToNm3"/>
      <definedName name="m3ToNm3"/>
      <definedName name="meterToFeet"/>
      <definedName name="meterToInch"/>
      <definedName name="molarGasConstant"/>
      <definedName name="NLToM3"/>
      <definedName name="Nm3ToM3"/>
      <definedName name="paToAtm"/>
      <definedName name="paToBar"/>
      <definedName name="paToMbar"/>
      <definedName name="PaToMmH20"/>
      <definedName name="reynoldsNumber"/>
      <definedName name="stefanBoltzmann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</sheetNames>
    <definedNames>
      <definedName name="arrheniusEquation"/>
      <definedName name="centipoiseToPas"/>
      <definedName name="circleArea"/>
      <definedName name="circlePerimeter"/>
      <definedName name="cylinderArea"/>
      <definedName name="cylinderVolume"/>
      <definedName name="ellipseArea"/>
      <definedName name="ellipsePerimeter"/>
      <definedName name="FahrenheitToCelsius"/>
      <definedName name="FahrenheitToKelvin"/>
      <definedName name="fluidMassFlow"/>
      <definedName name="fluidVelocity"/>
      <definedName name="KelvinToRankine"/>
      <definedName name="mmH20ToPa"/>
      <definedName name="PasToCentipoise"/>
      <definedName name="PaToPsi"/>
      <definedName name="PressureLossErgun"/>
      <definedName name="PsiToPa"/>
      <definedName name="RankineToCelsius"/>
      <definedName name="specificSurfaceArea"/>
      <definedName name="sphereArea"/>
      <definedName name="sphereVolum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C63"/>
  <sheetViews>
    <sheetView tabSelected="1" topLeftCell="A31" workbookViewId="0">
      <selection activeCell="D50" sqref="D50"/>
    </sheetView>
  </sheetViews>
  <sheetFormatPr defaultRowHeight="15" x14ac:dyDescent="0.25"/>
  <cols>
    <col min="1" max="1" width="49" customWidth="1"/>
    <col min="2" max="2" width="12" bestFit="1" customWidth="1"/>
    <col min="11" max="11" width="12" bestFit="1" customWidth="1"/>
  </cols>
  <sheetData>
    <row r="1" spans="1:3" ht="18.75" x14ac:dyDescent="0.3">
      <c r="A1" s="6" t="s">
        <v>4</v>
      </c>
      <c r="B1" s="6"/>
    </row>
    <row r="2" spans="1:3" ht="18.75" x14ac:dyDescent="0.3">
      <c r="A2" s="6" t="s">
        <v>5</v>
      </c>
      <c r="B2" s="6"/>
    </row>
    <row r="4" spans="1:3" x14ac:dyDescent="0.25">
      <c r="A4" s="5" t="s">
        <v>7</v>
      </c>
      <c r="B4" s="5"/>
    </row>
    <row r="5" spans="1:3" x14ac:dyDescent="0.25">
      <c r="A5" s="1" t="s">
        <v>0</v>
      </c>
      <c r="B5" s="1" t="s">
        <v>1</v>
      </c>
      <c r="C5" s="4" t="s">
        <v>54</v>
      </c>
    </row>
    <row r="6" spans="1:3" x14ac:dyDescent="0.25">
      <c r="A6" t="s">
        <v>2</v>
      </c>
      <c r="B6">
        <f>[1]!gravity()</f>
        <v>9.8066499999999994</v>
      </c>
    </row>
    <row r="7" spans="1:3" x14ac:dyDescent="0.25">
      <c r="A7" t="s">
        <v>3</v>
      </c>
      <c r="B7">
        <f>[1]!molarGasConstant()</f>
        <v>8.3144621000000001</v>
      </c>
    </row>
    <row r="8" spans="1:3" x14ac:dyDescent="0.25">
      <c r="A8" t="s">
        <v>6</v>
      </c>
      <c r="B8">
        <f>[1]!stefanBoltzmann()</f>
        <v>5.6703729999999996E-8</v>
      </c>
    </row>
    <row r="10" spans="1:3" x14ac:dyDescent="0.25">
      <c r="A10" s="5" t="s">
        <v>8</v>
      </c>
      <c r="B10" s="5"/>
    </row>
    <row r="11" spans="1:3" x14ac:dyDescent="0.25">
      <c r="A11" s="1" t="s">
        <v>0</v>
      </c>
      <c r="B11" s="1" t="s">
        <v>1</v>
      </c>
      <c r="C11" s="4" t="s">
        <v>54</v>
      </c>
    </row>
    <row r="12" spans="1:3" x14ac:dyDescent="0.25">
      <c r="A12" t="s">
        <v>9</v>
      </c>
      <c r="B12">
        <f>[1]!archimedesNumber(0.001, 1000, 1.225, 0.001)</f>
        <v>11.998430145843752</v>
      </c>
    </row>
    <row r="13" spans="1:3" x14ac:dyDescent="0.25">
      <c r="A13" t="s">
        <v>10</v>
      </c>
      <c r="B13">
        <f>[1]!reynoldsNumber(2.5, 1, 5.66, 0.001)</f>
        <v>14150</v>
      </c>
    </row>
    <row r="15" spans="1:3" x14ac:dyDescent="0.25">
      <c r="A15" s="5" t="s">
        <v>11</v>
      </c>
      <c r="B15" s="5"/>
    </row>
    <row r="16" spans="1:3" x14ac:dyDescent="0.25">
      <c r="A16" s="1" t="s">
        <v>0</v>
      </c>
      <c r="B16" s="1" t="s">
        <v>1</v>
      </c>
      <c r="C16" s="4" t="s">
        <v>54</v>
      </c>
    </row>
    <row r="17" spans="1:3" x14ac:dyDescent="0.25">
      <c r="A17" s="3" t="s">
        <v>17</v>
      </c>
      <c r="B17" s="2">
        <f>[1]!airViscosity(23)</f>
        <v>1.851752249099986E-5</v>
      </c>
    </row>
    <row r="18" spans="1:3" x14ac:dyDescent="0.25">
      <c r="A18" t="s">
        <v>12</v>
      </c>
      <c r="B18">
        <f>[1]!idealGasDensity(31, 101325, [1]!KelvinToCelsius(3000))</f>
        <v>0.12592820219232517</v>
      </c>
    </row>
    <row r="19" spans="1:3" x14ac:dyDescent="0.25">
      <c r="A19" t="s">
        <v>36</v>
      </c>
      <c r="B19">
        <f>[2]!specificSurfaceArea(0.001,0.15)</f>
        <v>5100</v>
      </c>
      <c r="C19">
        <v>1.02</v>
      </c>
    </row>
    <row r="20" spans="1:3" x14ac:dyDescent="0.25">
      <c r="A20" t="s">
        <v>37</v>
      </c>
      <c r="B20">
        <f>[2]!PressureLossErgun(0.01, 1, 0.4, 0.01, 1, 0.005, 0.5)</f>
        <v>211.01953124999994</v>
      </c>
      <c r="C20">
        <v>1.02</v>
      </c>
    </row>
    <row r="21" spans="1:3" x14ac:dyDescent="0.25">
      <c r="A21" t="s">
        <v>38</v>
      </c>
      <c r="B21">
        <f>[2]!arrheniusEquation(1,1,1)</f>
        <v>5.8393355413997939E-53</v>
      </c>
      <c r="C21">
        <v>1.02</v>
      </c>
    </row>
    <row r="22" spans="1:3" x14ac:dyDescent="0.25">
      <c r="A22" t="s">
        <v>39</v>
      </c>
      <c r="B22">
        <f>[2]!fluidMassFlow(1000, 2, 0.5)</f>
        <v>1000</v>
      </c>
      <c r="C22">
        <v>1.02</v>
      </c>
    </row>
    <row r="23" spans="1:3" x14ac:dyDescent="0.25">
      <c r="A23" t="s">
        <v>40</v>
      </c>
      <c r="B23">
        <f>[2]!fluidVelocity(1000, 1,0.5)</f>
        <v>2E-3</v>
      </c>
      <c r="C23">
        <v>1.02</v>
      </c>
    </row>
    <row r="25" spans="1:3" x14ac:dyDescent="0.25">
      <c r="A25" s="5" t="s">
        <v>18</v>
      </c>
      <c r="B25" s="5"/>
    </row>
    <row r="26" spans="1:3" x14ac:dyDescent="0.25">
      <c r="A26" s="1" t="s">
        <v>0</v>
      </c>
      <c r="B26" s="1" t="s">
        <v>1</v>
      </c>
      <c r="C26" s="4" t="s">
        <v>54</v>
      </c>
    </row>
    <row r="28" spans="1:3" x14ac:dyDescent="0.25">
      <c r="A28" t="s">
        <v>13</v>
      </c>
      <c r="B28">
        <f>[1]!feetToMeter(105)</f>
        <v>32.004000000000005</v>
      </c>
    </row>
    <row r="29" spans="1:3" x14ac:dyDescent="0.25">
      <c r="A29" t="s">
        <v>14</v>
      </c>
      <c r="B29">
        <f>[1]!meterToFeet(213)</f>
        <v>698.81040000000007</v>
      </c>
    </row>
    <row r="30" spans="1:3" x14ac:dyDescent="0.25">
      <c r="A30" t="s">
        <v>15</v>
      </c>
      <c r="B30">
        <f>[1]!meterToInch(2134)</f>
        <v>84015.748031496056</v>
      </c>
    </row>
    <row r="31" spans="1:3" x14ac:dyDescent="0.25">
      <c r="A31" t="s">
        <v>16</v>
      </c>
      <c r="B31">
        <f>[1]!inchToMeter(886)</f>
        <v>22.5044</v>
      </c>
    </row>
    <row r="32" spans="1:3" x14ac:dyDescent="0.25">
      <c r="A32" t="s">
        <v>19</v>
      </c>
      <c r="B32">
        <f>[1]!m3ToNm3(5,600, 101325)</f>
        <v>2.2762499999999997</v>
      </c>
    </row>
    <row r="33" spans="1:3" x14ac:dyDescent="0.25">
      <c r="A33" t="s">
        <v>20</v>
      </c>
      <c r="B33">
        <f>[1]!Nm3ToM3(5,373,101325)</f>
        <v>6.8277503203368122</v>
      </c>
    </row>
    <row r="34" spans="1:3" x14ac:dyDescent="0.25">
      <c r="A34" t="s">
        <v>22</v>
      </c>
      <c r="B34">
        <f>[1]!NLToM3(1,273,101325)</f>
        <v>1.66575141863445E-5</v>
      </c>
    </row>
    <row r="35" spans="1:3" x14ac:dyDescent="0.25">
      <c r="A35" t="s">
        <v>21</v>
      </c>
      <c r="B35">
        <f>[1]!KgToNm3(1000, 28.97)</f>
        <v>773.55885398688304</v>
      </c>
    </row>
    <row r="36" spans="1:3" x14ac:dyDescent="0.25">
      <c r="A36" t="s">
        <v>23</v>
      </c>
      <c r="B36">
        <f>[1]!paToMbar(101325)</f>
        <v>1013.25</v>
      </c>
    </row>
    <row r="37" spans="1:3" x14ac:dyDescent="0.25">
      <c r="A37" t="s">
        <v>24</v>
      </c>
      <c r="B37">
        <f>[1]!PaToMmH20(101325)</f>
        <v>10332.51555</v>
      </c>
    </row>
    <row r="38" spans="1:3" x14ac:dyDescent="0.25">
      <c r="A38" t="s">
        <v>31</v>
      </c>
      <c r="B38">
        <f>[2]!mmH20ToPa(100)</f>
        <v>980.64199999999994</v>
      </c>
    </row>
    <row r="39" spans="1:3" x14ac:dyDescent="0.25">
      <c r="A39" t="s">
        <v>25</v>
      </c>
      <c r="B39">
        <f>[1]!paToAtm(101325)</f>
        <v>0.99975333004440048</v>
      </c>
    </row>
    <row r="40" spans="1:3" x14ac:dyDescent="0.25">
      <c r="A40" t="s">
        <v>26</v>
      </c>
      <c r="B40">
        <f>[1]!atmToPa(1)</f>
        <v>101350</v>
      </c>
    </row>
    <row r="41" spans="1:3" x14ac:dyDescent="0.25">
      <c r="A41" t="s">
        <v>27</v>
      </c>
      <c r="B41">
        <f>[1]!paToBar(101325)</f>
        <v>1.01325</v>
      </c>
    </row>
    <row r="42" spans="1:3" x14ac:dyDescent="0.25">
      <c r="A42" t="s">
        <v>28</v>
      </c>
      <c r="B42">
        <f>[1]!barToPa(1)</f>
        <v>100000</v>
      </c>
    </row>
    <row r="43" spans="1:3" x14ac:dyDescent="0.25">
      <c r="A43" t="s">
        <v>43</v>
      </c>
      <c r="B43">
        <f>[2]!PaToPsi(101325)</f>
        <v>14.695949400392211</v>
      </c>
      <c r="C43">
        <v>1.02</v>
      </c>
    </row>
    <row r="44" spans="1:3" x14ac:dyDescent="0.25">
      <c r="A44" t="s">
        <v>44</v>
      </c>
      <c r="B44">
        <f>[2]!PsiToPa(1)</f>
        <v>6894.7570000000005</v>
      </c>
      <c r="C44">
        <v>1.02</v>
      </c>
    </row>
    <row r="45" spans="1:3" x14ac:dyDescent="0.25">
      <c r="A45" t="s">
        <v>29</v>
      </c>
      <c r="B45">
        <f>[1]!KelvinToCelsius(303)</f>
        <v>29.850000000000023</v>
      </c>
    </row>
    <row r="46" spans="1:3" x14ac:dyDescent="0.25">
      <c r="A46" t="s">
        <v>30</v>
      </c>
      <c r="B46">
        <f>[1]!CelsiusToKelvin(100)</f>
        <v>373.15</v>
      </c>
    </row>
    <row r="47" spans="1:3" x14ac:dyDescent="0.25">
      <c r="A47" t="s">
        <v>32</v>
      </c>
      <c r="B47">
        <f>[2]!KelvinToRankine(273.15)</f>
        <v>491.66999999999996</v>
      </c>
    </row>
    <row r="48" spans="1:3" x14ac:dyDescent="0.25">
      <c r="A48" t="s">
        <v>33</v>
      </c>
      <c r="B48">
        <f>[2]!RankineToCelsius(500)</f>
        <v>4.6277777777777693</v>
      </c>
    </row>
    <row r="49" spans="1:3" x14ac:dyDescent="0.25">
      <c r="A49" t="s">
        <v>34</v>
      </c>
      <c r="B49">
        <f>[2]!FahrenheitToCelsius(100)</f>
        <v>37.777777777777779</v>
      </c>
    </row>
    <row r="50" spans="1:3" x14ac:dyDescent="0.25">
      <c r="A50" t="s">
        <v>35</v>
      </c>
      <c r="B50">
        <f>[2]!FahrenheitToKelvin(222)</f>
        <v>378.70555555555558</v>
      </c>
    </row>
    <row r="51" spans="1:3" x14ac:dyDescent="0.25">
      <c r="A51" t="s">
        <v>41</v>
      </c>
      <c r="B51">
        <f>[2]!PasToCentipoise(1)</f>
        <v>1000</v>
      </c>
      <c r="C51">
        <v>1.02</v>
      </c>
    </row>
    <row r="52" spans="1:3" x14ac:dyDescent="0.25">
      <c r="A52" t="s">
        <v>42</v>
      </c>
      <c r="B52">
        <f>[2]!centipoiseToPas(1)</f>
        <v>1E-3</v>
      </c>
      <c r="C52">
        <v>1.02</v>
      </c>
    </row>
    <row r="54" spans="1:3" x14ac:dyDescent="0.25">
      <c r="A54" s="5" t="s">
        <v>45</v>
      </c>
      <c r="B54" s="5"/>
    </row>
    <row r="55" spans="1:3" x14ac:dyDescent="0.25">
      <c r="A55" s="4" t="s">
        <v>0</v>
      </c>
      <c r="B55" s="4" t="s">
        <v>1</v>
      </c>
      <c r="C55" s="4" t="s">
        <v>54</v>
      </c>
    </row>
    <row r="56" spans="1:3" x14ac:dyDescent="0.25">
      <c r="A56" t="s">
        <v>46</v>
      </c>
      <c r="B56">
        <f>[2]!circleArea(2)</f>
        <v>3.1415926500000002</v>
      </c>
      <c r="C56">
        <v>1.02</v>
      </c>
    </row>
    <row r="57" spans="1:3" x14ac:dyDescent="0.25">
      <c r="A57" t="s">
        <v>47</v>
      </c>
      <c r="B57">
        <f>[2]!circlePerimeter(2)</f>
        <v>6.2831853000000004</v>
      </c>
      <c r="C57">
        <v>1.02</v>
      </c>
    </row>
    <row r="58" spans="1:3" x14ac:dyDescent="0.25">
      <c r="A58" t="s">
        <v>48</v>
      </c>
      <c r="B58">
        <f>[2]!ellipseArea(1,2)</f>
        <v>6.2831853000000004</v>
      </c>
      <c r="C58">
        <v>1.02</v>
      </c>
    </row>
    <row r="59" spans="1:3" x14ac:dyDescent="0.25">
      <c r="A59" t="s">
        <v>49</v>
      </c>
      <c r="B59">
        <f>[2]!ellipsePerimeter(1,2)</f>
        <v>9.6884210866006519</v>
      </c>
      <c r="C59">
        <v>1.02</v>
      </c>
    </row>
    <row r="60" spans="1:3" x14ac:dyDescent="0.25">
      <c r="A60" t="s">
        <v>50</v>
      </c>
      <c r="B60">
        <f>[2]!cylinderVolume(1,2)</f>
        <v>1.5707963250000001</v>
      </c>
      <c r="C60">
        <v>1.02</v>
      </c>
    </row>
    <row r="61" spans="1:3" x14ac:dyDescent="0.25">
      <c r="A61" t="s">
        <v>51</v>
      </c>
      <c r="B61">
        <f>[2]!cylinderArea(9,2)</f>
        <v>183.783170025</v>
      </c>
      <c r="C61">
        <v>1.02</v>
      </c>
    </row>
    <row r="62" spans="1:3" x14ac:dyDescent="0.25">
      <c r="A62" t="s">
        <v>52</v>
      </c>
      <c r="B62">
        <f>[2]!sphereVolume(15)</f>
        <v>1767.1458656250002</v>
      </c>
      <c r="C62">
        <v>1.02</v>
      </c>
    </row>
    <row r="63" spans="1:3" x14ac:dyDescent="0.25">
      <c r="A63" t="s">
        <v>53</v>
      </c>
      <c r="B63">
        <f>[2]!sphereArea(11)</f>
        <v>380.13271065000004</v>
      </c>
      <c r="C63">
        <v>1.02</v>
      </c>
    </row>
  </sheetData>
  <mergeCells count="7">
    <mergeCell ref="A54:B54"/>
    <mergeCell ref="A25:B25"/>
    <mergeCell ref="A4:B4"/>
    <mergeCell ref="A10:B10"/>
    <mergeCell ref="A1:B1"/>
    <mergeCell ref="A2:B2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Morales</dc:creator>
  <cp:lastModifiedBy>Morales</cp:lastModifiedBy>
  <dcterms:created xsi:type="dcterms:W3CDTF">2013-05-01T13:10:29Z</dcterms:created>
  <dcterms:modified xsi:type="dcterms:W3CDTF">2013-05-29T23:13:05Z</dcterms:modified>
</cp:coreProperties>
</file>