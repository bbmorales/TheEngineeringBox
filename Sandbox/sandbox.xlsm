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60" yWindow="120" windowWidth="14355" windowHeight="4680"/>
  </bookViews>
  <sheets>
    <sheet name="Plan1" sheetId="1" r:id="rId1"/>
    <sheet name="Plan2" sheetId="2" r:id="rId2"/>
    <sheet name="Plan3" sheetId="3" r:id="rId3"/>
  </sheets>
  <functionGroups builtInGroupCount="17"/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B43" i="1" l="1"/>
  <c r="B42" i="1"/>
  <c r="B41" i="1"/>
  <c r="B40" i="1"/>
  <c r="B33" i="1"/>
  <c r="B30" i="1"/>
  <c r="B17" i="1"/>
  <c r="B25" i="1"/>
  <c r="B38" i="1"/>
  <c r="B7" i="1"/>
  <c r="B24" i="1"/>
  <c r="B39" i="1"/>
  <c r="B23" i="1"/>
  <c r="B6" i="1"/>
  <c r="B34" i="1"/>
  <c r="B28" i="1"/>
  <c r="B37" i="1"/>
  <c r="B31" i="1"/>
  <c r="B35" i="1"/>
  <c r="B12" i="1"/>
  <c r="B27" i="1"/>
  <c r="B26" i="1"/>
  <c r="B8" i="1"/>
  <c r="B36" i="1"/>
  <c r="B29" i="1"/>
  <c r="B32" i="1"/>
  <c r="B13" i="1"/>
  <c r="B18" i="1"/>
</calcChain>
</file>

<file path=xl/sharedStrings.xml><?xml version="1.0" encoding="utf-8"?>
<sst xmlns="http://schemas.openxmlformats.org/spreadsheetml/2006/main" count="42" uniqueCount="36">
  <si>
    <t>Function</t>
  </si>
  <si>
    <t>Value</t>
  </si>
  <si>
    <t>gravity</t>
  </si>
  <si>
    <t>molarGasConstant</t>
  </si>
  <si>
    <t>THE ENGINEERING BOX - SANDBOX</t>
  </si>
  <si>
    <t>This spreadsheet is for testing only</t>
  </si>
  <si>
    <t>stefanBoltzmann</t>
  </si>
  <si>
    <t>CONSTANTS</t>
  </si>
  <si>
    <t>DIMENSIONLESS NUMBERS</t>
  </si>
  <si>
    <t>archimedesNumber</t>
  </si>
  <si>
    <t>reynoldsNumber</t>
  </si>
  <si>
    <t>Physical properties and corelations</t>
  </si>
  <si>
    <t>idealGasDensity</t>
  </si>
  <si>
    <t>feetToMeter</t>
  </si>
  <si>
    <t>meterToFeet</t>
  </si>
  <si>
    <t>meterToInch</t>
  </si>
  <si>
    <t>inchToMeter</t>
  </si>
  <si>
    <t>airViscosity</t>
  </si>
  <si>
    <t>Unit conversion</t>
  </si>
  <si>
    <t>m3ToNm3</t>
  </si>
  <si>
    <t>Nm3ToM3</t>
  </si>
  <si>
    <t>kgToNm3</t>
  </si>
  <si>
    <t>NLToM3</t>
  </si>
  <si>
    <t>paToMbar</t>
  </si>
  <si>
    <t>paToMmH2O</t>
  </si>
  <si>
    <t>paToAtm</t>
  </si>
  <si>
    <t>atmToPa</t>
  </si>
  <si>
    <t>paToBar</t>
  </si>
  <si>
    <t>barToPa</t>
  </si>
  <si>
    <t>kelvinToCelsius</t>
  </si>
  <si>
    <t>celsiusToKelvin</t>
  </si>
  <si>
    <t>mmH2OToPa</t>
  </si>
  <si>
    <t>KelvinToRankine</t>
  </si>
  <si>
    <t>RankineToCelsius</t>
  </si>
  <si>
    <t>FahrenheitToCelsius</t>
  </si>
  <si>
    <t>FahrenheitToKelvin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</si>
</sst>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les/AppData/Roaming/Microsoft/Suplementos/The_Engineering_Box_v1.01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3"/>
    </sheetNames>
    <definedNames>
      <definedName name="airViscosity"/>
      <definedName name="archimedesNumber"/>
      <definedName name="atmToPa"/>
      <definedName name="barToPa"/>
      <definedName name="CelsiusToKelvin"/>
      <definedName name="feetToMeter"/>
      <definedName name="gravity"/>
      <definedName name="idealGasDensity"/>
      <definedName name="inchToMeter"/>
      <definedName name="KelvinToCelsius"/>
      <definedName name="KgToNm3"/>
      <definedName name="m3ToNm3"/>
      <definedName name="meterToFeet"/>
      <definedName name="meterToInch"/>
      <definedName name="molarGasConstant"/>
      <definedName name="NLToM3"/>
      <definedName name="Nm3ToM3"/>
      <definedName name="paToAtm"/>
      <definedName name="paToBar"/>
      <definedName name="paToMbar"/>
      <definedName name="PaToMmH20"/>
      <definedName name="reynoldsNumber"/>
      <definedName name="stefanBoltzmann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43"/>
  <sheetViews>
    <sheetView tabSelected="1" topLeftCell="A23" workbookViewId="0">
      <selection activeCell="A44" sqref="A44"/>
    </sheetView>
  </sheetViews>
  <sheetFormatPr defaultRowHeight="15" x14ac:dyDescent="0.25"/>
  <cols>
    <col min="1" max="1" width="49" customWidth="1"/>
    <col min="2" max="2" width="12" bestFit="1" customWidth="1"/>
    <col min="11" max="11" width="12" bestFit="1" customWidth="1"/>
  </cols>
  <sheetData>
    <row r="1" spans="1:2" ht="18.75" x14ac:dyDescent="0.3">
      <c r="A1" s="5" t="s">
        <v>4</v>
      </c>
      <c r="B1" s="5"/>
    </row>
    <row r="2" spans="1:2" ht="18.75" x14ac:dyDescent="0.3">
      <c r="A2" s="5" t="s">
        <v>5</v>
      </c>
      <c r="B2" s="5"/>
    </row>
    <row r="4" spans="1:2" x14ac:dyDescent="0.25">
      <c r="A4" s="4" t="s">
        <v>7</v>
      </c>
      <c r="B4" s="4"/>
    </row>
    <row r="5" spans="1:2" x14ac:dyDescent="0.25">
      <c r="A5" s="1" t="s">
        <v>0</v>
      </c>
      <c r="B5" s="1" t="s">
        <v>1</v>
      </c>
    </row>
    <row r="6" spans="1:2" x14ac:dyDescent="0.25">
      <c r="A6" t="s">
        <v>2</v>
      </c>
      <c r="B6">
        <f>[1]!gravity()</f>
        <v>9.8066499999999994</v>
      </c>
    </row>
    <row r="7" spans="1:2" x14ac:dyDescent="0.25">
      <c r="A7" t="s">
        <v>3</v>
      </c>
      <c r="B7">
        <f>[1]!molarGasConstant()</f>
        <v>8.3144621000000001</v>
      </c>
    </row>
    <row r="8" spans="1:2" x14ac:dyDescent="0.25">
      <c r="A8" t="s">
        <v>6</v>
      </c>
      <c r="B8">
        <f>[1]!stefanBoltzmann()</f>
        <v>5.6703729999999996E-8</v>
      </c>
    </row>
    <row r="10" spans="1:2" x14ac:dyDescent="0.25">
      <c r="A10" s="4" t="s">
        <v>8</v>
      </c>
      <c r="B10" s="4"/>
    </row>
    <row r="11" spans="1:2" x14ac:dyDescent="0.25">
      <c r="A11" s="1" t="s">
        <v>0</v>
      </c>
      <c r="B11" s="1" t="s">
        <v>1</v>
      </c>
    </row>
    <row r="12" spans="1:2" x14ac:dyDescent="0.25">
      <c r="A12" t="s">
        <v>9</v>
      </c>
      <c r="B12">
        <f>[1]!archimedesNumber(0.001, 1000, 1.225, 0.001)</f>
        <v>11.998430145843752</v>
      </c>
    </row>
    <row r="13" spans="1:2" x14ac:dyDescent="0.25">
      <c r="A13" t="s">
        <v>10</v>
      </c>
      <c r="B13">
        <f>[1]!reynoldsNumber(2.5, 1, 5.66, 0.001)</f>
        <v>14150</v>
      </c>
    </row>
    <row r="15" spans="1:2" x14ac:dyDescent="0.25">
      <c r="A15" s="4" t="s">
        <v>11</v>
      </c>
      <c r="B15" s="4"/>
    </row>
    <row r="16" spans="1:2" x14ac:dyDescent="0.25">
      <c r="A16" s="1" t="s">
        <v>0</v>
      </c>
      <c r="B16" s="1" t="s">
        <v>1</v>
      </c>
    </row>
    <row r="17" spans="1:2" x14ac:dyDescent="0.25">
      <c r="A17" s="3" t="s">
        <v>17</v>
      </c>
      <c r="B17" s="2">
        <f>[1]!airViscosity(23)</f>
        <v>1.851752249099986E-5</v>
      </c>
    </row>
    <row r="18" spans="1:2" x14ac:dyDescent="0.25">
      <c r="A18" t="s">
        <v>12</v>
      </c>
      <c r="B18">
        <f>[1]!idealGasDensity(31, 101325, [1]!KelvinToCelsius(3000))</f>
        <v>0.12592820219232517</v>
      </c>
    </row>
    <row r="20" spans="1:2" x14ac:dyDescent="0.25">
      <c r="A20" s="4" t="s">
        <v>18</v>
      </c>
      <c r="B20" s="4"/>
    </row>
    <row r="21" spans="1:2" x14ac:dyDescent="0.25">
      <c r="A21" s="1" t="s">
        <v>0</v>
      </c>
      <c r="B21" s="1" t="s">
        <v>1</v>
      </c>
    </row>
    <row r="23" spans="1:2" x14ac:dyDescent="0.25">
      <c r="A23" t="s">
        <v>13</v>
      </c>
      <c r="B23">
        <f>[1]!feetToMeter(105)</f>
        <v>32.004000000000005</v>
      </c>
    </row>
    <row r="24" spans="1:2" x14ac:dyDescent="0.25">
      <c r="A24" t="s">
        <v>14</v>
      </c>
      <c r="B24">
        <f>[1]!meterToFeet(213)</f>
        <v>698.81040000000007</v>
      </c>
    </row>
    <row r="25" spans="1:2" x14ac:dyDescent="0.25">
      <c r="A25" t="s">
        <v>15</v>
      </c>
      <c r="B25">
        <f>[1]!meterToInch(2134)</f>
        <v>84015.748031496056</v>
      </c>
    </row>
    <row r="26" spans="1:2" x14ac:dyDescent="0.25">
      <c r="A26" t="s">
        <v>16</v>
      </c>
      <c r="B26">
        <f>[1]!inchToMeter(886)</f>
        <v>22.5044</v>
      </c>
    </row>
    <row r="27" spans="1:2" x14ac:dyDescent="0.25">
      <c r="A27" t="s">
        <v>19</v>
      </c>
      <c r="B27">
        <f>[1]!m3ToNm3(5,600, 101325)</f>
        <v>2.2762499999999997</v>
      </c>
    </row>
    <row r="28" spans="1:2" x14ac:dyDescent="0.25">
      <c r="A28" t="s">
        <v>20</v>
      </c>
      <c r="B28">
        <f>[1]!Nm3ToM3(5,373,101325)</f>
        <v>6.8277503203368122</v>
      </c>
    </row>
    <row r="29" spans="1:2" x14ac:dyDescent="0.25">
      <c r="A29" t="s">
        <v>22</v>
      </c>
      <c r="B29">
        <f>[1]!NLToM3(1,273,101325)</f>
        <v>1.66575141863445E-5</v>
      </c>
    </row>
    <row r="30" spans="1:2" x14ac:dyDescent="0.25">
      <c r="A30" t="s">
        <v>21</v>
      </c>
      <c r="B30">
        <f>[1]!KgToNm3(1000, 28.97)</f>
        <v>773.55885398688304</v>
      </c>
    </row>
    <row r="31" spans="1:2" x14ac:dyDescent="0.25">
      <c r="A31" t="s">
        <v>23</v>
      </c>
      <c r="B31">
        <f>[1]!paToMbar(101325)</f>
        <v>1013.25</v>
      </c>
    </row>
    <row r="32" spans="1:2" x14ac:dyDescent="0.25">
      <c r="A32" t="s">
        <v>24</v>
      </c>
      <c r="B32">
        <f>[1]!PaToMmH20(101325)</f>
        <v>10332.51555</v>
      </c>
    </row>
    <row r="33" spans="1:2" x14ac:dyDescent="0.25">
      <c r="A33" t="s">
        <v>31</v>
      </c>
      <c r="B33">
        <f>mmH20ToPa(100)</f>
        <v>980.64199999999994</v>
      </c>
    </row>
    <row r="34" spans="1:2" x14ac:dyDescent="0.25">
      <c r="A34" t="s">
        <v>25</v>
      </c>
      <c r="B34">
        <f>[1]!paToAtm(101325)</f>
        <v>0.99975333004440048</v>
      </c>
    </row>
    <row r="35" spans="1:2" x14ac:dyDescent="0.25">
      <c r="A35" t="s">
        <v>26</v>
      </c>
      <c r="B35">
        <f>[1]!atmToPa(1)</f>
        <v>101350</v>
      </c>
    </row>
    <row r="36" spans="1:2" x14ac:dyDescent="0.25">
      <c r="A36" t="s">
        <v>27</v>
      </c>
      <c r="B36">
        <f>[1]!paToBar(101325)</f>
        <v>1.01325</v>
      </c>
    </row>
    <row r="37" spans="1:2" x14ac:dyDescent="0.25">
      <c r="A37" t="s">
        <v>28</v>
      </c>
      <c r="B37">
        <f>[1]!barToPa(1)</f>
        <v>100000</v>
      </c>
    </row>
    <row r="38" spans="1:2" x14ac:dyDescent="0.25">
      <c r="A38" t="s">
        <v>29</v>
      </c>
      <c r="B38">
        <f>[1]!KelvinToCelsius(303)</f>
        <v>29.850000000000023</v>
      </c>
    </row>
    <row r="39" spans="1:2" x14ac:dyDescent="0.25">
      <c r="A39" t="s">
        <v>30</v>
      </c>
      <c r="B39">
        <f>[1]!CelsiusToKelvin(100)</f>
        <v>373.15</v>
      </c>
    </row>
    <row r="40" spans="1:2" x14ac:dyDescent="0.25">
      <c r="A40" t="s">
        <v>32</v>
      </c>
      <c r="B40">
        <f>KelvinToRankine(273.15)</f>
        <v>491.66999999999996</v>
      </c>
    </row>
    <row r="41" spans="1:2" x14ac:dyDescent="0.25">
      <c r="A41" t="s">
        <v>33</v>
      </c>
      <c r="B41">
        <f>RankineToCelsius(500)</f>
        <v>4.6277777777777693</v>
      </c>
    </row>
    <row r="42" spans="1:2" x14ac:dyDescent="0.25">
      <c r="A42" t="s">
        <v>34</v>
      </c>
      <c r="B42">
        <f>FahrenheitToCelsius(100)</f>
        <v>37.777777777777779</v>
      </c>
    </row>
    <row r="43" spans="1:2" x14ac:dyDescent="0.25">
      <c r="A43" t="s">
        <v>35</v>
      </c>
      <c r="B43">
        <f>FahrenheitToKelvin(222)</f>
        <v>378.70555555555558</v>
      </c>
    </row>
  </sheetData>
  <mergeCells count="6">
    <mergeCell ref="A20:B20"/>
    <mergeCell ref="A4:B4"/>
    <mergeCell ref="A10:B10"/>
    <mergeCell ref="A1:B1"/>
    <mergeCell ref="A2:B2"/>
    <mergeCell ref="A15:B1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Morales</dc:creator>
  <cp:lastModifiedBy>Morales</cp:lastModifiedBy>
  <dcterms:created xsi:type="dcterms:W3CDTF">2013-05-01T13:10:29Z</dcterms:created>
  <dcterms:modified xsi:type="dcterms:W3CDTF">2013-05-07T22:30:48Z</dcterms:modified>
</cp:coreProperties>
</file>