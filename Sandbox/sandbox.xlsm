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1" defaultThemeVersion="124226"/>
  <bookViews>
    <workbookView xWindow="360" yWindow="120" windowWidth="14355" windowHeight="4680"/>
  </bookViews>
  <sheets>
    <sheet name="Plan1" sheetId="1" r:id="rId1"/>
    <sheet name="fluidisation vel" sheetId="2" r:id="rId2"/>
  </sheets>
  <functionGroups builtInGroupCount="17"/>
  <externalReferences>
    <externalReference r:id="rId3"/>
    <externalReference r:id="rId4"/>
    <externalReference r:id="rId5"/>
  </externalReferences>
  <calcPr calcId="145621"/>
</workbook>
</file>

<file path=xl/calcChain.xml><?xml version="1.0" encoding="utf-8"?>
<calcChain xmlns="http://schemas.openxmlformats.org/spreadsheetml/2006/main">
  <c r="F6" i="2" l="1"/>
  <c r="F5" i="2"/>
  <c r="F7" i="2"/>
  <c r="F8" i="2"/>
  <c r="B41" i="1"/>
  <c r="B25" i="1"/>
  <c r="B26" i="1"/>
  <c r="G2" i="2"/>
  <c r="G5" i="2"/>
  <c r="B24" i="1"/>
  <c r="B42" i="1"/>
  <c r="G7" i="2"/>
  <c r="G6" i="2"/>
  <c r="G4" i="2"/>
  <c r="H2" i="2"/>
  <c r="G3" i="2"/>
  <c r="B27" i="1"/>
  <c r="H3" i="2"/>
  <c r="G8" i="2"/>
  <c r="B28" i="1"/>
  <c r="B43" i="1"/>
  <c r="B40" i="1" l="1"/>
  <c r="B17" i="1"/>
  <c r="B35" i="1"/>
  <c r="B7" i="1"/>
  <c r="B34" i="1"/>
  <c r="B33" i="1"/>
  <c r="B6" i="1"/>
  <c r="B48" i="1"/>
  <c r="B38" i="1"/>
  <c r="B51" i="1"/>
  <c r="B45" i="1"/>
  <c r="B49" i="1"/>
  <c r="B12" i="1"/>
  <c r="B37" i="1"/>
  <c r="B36" i="1"/>
  <c r="B8" i="1"/>
  <c r="B50" i="1"/>
  <c r="B39" i="1"/>
  <c r="B46" i="1"/>
  <c r="B13" i="1"/>
  <c r="B18" i="1"/>
  <c r="B56" i="1"/>
  <c r="B60" i="1"/>
  <c r="B61" i="1"/>
  <c r="B67" i="1"/>
  <c r="B47" i="1"/>
  <c r="B19" i="1"/>
  <c r="B57" i="1"/>
  <c r="B20" i="1"/>
  <c r="B53" i="1"/>
  <c r="F4" i="2"/>
  <c r="B70" i="1"/>
  <c r="B68" i="1"/>
  <c r="F2" i="2"/>
  <c r="B52" i="1"/>
  <c r="B69" i="1"/>
  <c r="B59" i="1"/>
  <c r="B54" i="1"/>
  <c r="B65" i="1"/>
  <c r="B22" i="1"/>
  <c r="B21" i="1"/>
  <c r="B71" i="1"/>
  <c r="B55" i="1"/>
  <c r="B72" i="1"/>
  <c r="B23" i="1"/>
  <c r="B66" i="1"/>
  <c r="B58" i="1"/>
  <c r="H5" i="2"/>
  <c r="H6" i="2"/>
  <c r="H7" i="2"/>
  <c r="H8" i="2"/>
  <c r="I5" i="2" l="1"/>
  <c r="I6" i="2"/>
  <c r="I7" i="2"/>
  <c r="I8" i="2"/>
  <c r="I3" i="2"/>
  <c r="I2" i="2"/>
  <c r="H4" i="2"/>
  <c r="I4" i="2" l="1"/>
</calcChain>
</file>

<file path=xl/sharedStrings.xml><?xml version="1.0" encoding="utf-8"?>
<sst xmlns="http://schemas.openxmlformats.org/spreadsheetml/2006/main" count="91" uniqueCount="76">
  <si>
    <t>Function</t>
  </si>
  <si>
    <t>Value</t>
  </si>
  <si>
    <t>gravity</t>
  </si>
  <si>
    <t>molarGasConstant</t>
  </si>
  <si>
    <t>THE ENGINEERING BOX - SANDBOX</t>
  </si>
  <si>
    <t>This spreadsheet is for testing only</t>
  </si>
  <si>
    <t>stefanBoltzmann</t>
  </si>
  <si>
    <t>CONSTANTS</t>
  </si>
  <si>
    <t>DIMENSIONLESS NUMBERS</t>
  </si>
  <si>
    <t>archimedesNumber</t>
  </si>
  <si>
    <t>reynoldsNumber</t>
  </si>
  <si>
    <t>Physical properties and corelations</t>
  </si>
  <si>
    <t>idealGasDensity</t>
  </si>
  <si>
    <t>feetToMeter</t>
  </si>
  <si>
    <t>meterToFeet</t>
  </si>
  <si>
    <t>meterToInch</t>
  </si>
  <si>
    <t>inchToMeter</t>
  </si>
  <si>
    <t>airViscosity</t>
  </si>
  <si>
    <t>Unit conversion</t>
  </si>
  <si>
    <t>m3ToNm3</t>
  </si>
  <si>
    <t>Nm3ToM3</t>
  </si>
  <si>
    <t>kgToNm3</t>
  </si>
  <si>
    <t>NLToM3</t>
  </si>
  <si>
    <t>paToMbar</t>
  </si>
  <si>
    <t>paToMmH2O</t>
  </si>
  <si>
    <t>paToAtm</t>
  </si>
  <si>
    <t>atmToPa</t>
  </si>
  <si>
    <t>paToBar</t>
  </si>
  <si>
    <t>barToPa</t>
  </si>
  <si>
    <t>kelvinToCelsius</t>
  </si>
  <si>
    <t>celsiusToKelvin</t>
  </si>
  <si>
    <t>mmH2OToPa</t>
  </si>
  <si>
    <t>KelvinToRankine</t>
  </si>
  <si>
    <t>RankineToCelsius</t>
  </si>
  <si>
    <t>FahrenheitToCelsius</t>
  </si>
  <si>
    <t>FahrenheitToKelvin</t>
  </si>
  <si>
    <t>specificSurfaceArea</t>
  </si>
  <si>
    <t>PressureLossErgun</t>
  </si>
  <si>
    <t>arrheniusEquation</t>
  </si>
  <si>
    <t>fluidMassFlow</t>
  </si>
  <si>
    <t>fluidVelocity</t>
  </si>
  <si>
    <t>PasToCentipoise</t>
  </si>
  <si>
    <t>centipoiseToPas</t>
  </si>
  <si>
    <t>PaToPsi</t>
  </si>
  <si>
    <t>PsiToPa</t>
  </si>
  <si>
    <t>Geometry</t>
  </si>
  <si>
    <t>circleArea</t>
  </si>
  <si>
    <t>circlePerimeter</t>
  </si>
  <si>
    <t>ellipseArea</t>
  </si>
  <si>
    <t>ellipsePerimeter</t>
  </si>
  <si>
    <t>cylinderVolume</t>
  </si>
  <si>
    <t>cylinderArea</t>
  </si>
  <si>
    <t>sphereVolume</t>
  </si>
  <si>
    <t>sphereArea</t>
  </si>
  <si>
    <t>Version</t>
  </si>
  <si>
    <t>Reference</t>
  </si>
  <si>
    <t>diameter (m)</t>
  </si>
  <si>
    <t>particle density (kg m-3)</t>
  </si>
  <si>
    <t>gas densty (kg m-3)</t>
  </si>
  <si>
    <t>Document min fluid velocity (m s-1)</t>
  </si>
  <si>
    <t>gas viscosity (Pa s)</t>
  </si>
  <si>
    <r>
      <t xml:space="preserve">Acosta-Iborra, A. et al., 2011. Experimental and computational study on the bubble behavior in a 3-D fluidized bed. </t>
    </r>
    <r>
      <rPr>
        <i/>
        <sz val="11"/>
        <color theme="1"/>
        <rFont val="Calibri"/>
        <family val="2"/>
        <scheme val="minor"/>
      </rPr>
      <t>Chemical Engineering Science</t>
    </r>
    <r>
      <rPr>
        <sz val="11"/>
        <color theme="1"/>
        <rFont val="Calibri"/>
        <family val="2"/>
        <scheme val="minor"/>
      </rPr>
      <t xml:space="preserve">, 66(15), pp.3499–3512. </t>
    </r>
  </si>
  <si>
    <t>Error (%)</t>
  </si>
  <si>
    <t>Herzog, N. et al., 2012. A comparative study of different CFD-codes for numerical simulation of gas–solid fluidized bed hydrodynamics. Computers &amp; Chemical Engineering, 39, pp.41–46.</t>
  </si>
  <si>
    <t>Huilin, L., Yurong, H. &amp; Gidaspow, D., 2003. Hydrodynamic modelling of binary mixture in a gas bubbling fluidized bed using the kinetic theory of granular flow. Chemical Engineering Science, 58(7), pp.1197–1205.</t>
  </si>
  <si>
    <t>geldart</t>
  </si>
  <si>
    <t>Laverman, J.A. et al., 2012. Experimental study on the influence of bed material on the scaling of solids circulation patterns in 3D bubbling gas–solid fluidized beds of glass and polyethylene using positron emission particle tracking. Powder Technology, 224, pp.297–305.</t>
  </si>
  <si>
    <t xml:space="preserve">Min, J. et al., 2009. Experimental validation of CFD simulations of a lab-scale fluidized-bed reactor with and without side-gas injection. AIChE Journal, 56(6), pp.1434 – 1446. </t>
  </si>
  <si>
    <t>geldartGroup</t>
  </si>
  <si>
    <t>minimunFluidisationVelocity</t>
  </si>
  <si>
    <t>porousCoefficientAlfa</t>
  </si>
  <si>
    <t>porousCoefficientC2</t>
  </si>
  <si>
    <t>literToM3</t>
  </si>
  <si>
    <t>m3ToLiter</t>
  </si>
  <si>
    <t>m3ToKg</t>
  </si>
  <si>
    <t>terminalVelocity</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</si>
</sst>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applyAlignment="1">
      <alignment horizontal="center"/>
    </xf>
    <xf numFmtId="0" fontId="0" fillId="0" borderId="0" xfId="0" applyFont="1" applyAlignment="1">
      <alignment horizontal="center"/>
    </xf>
    <xf numFmtId="0" fontId="0" fillId="0" borderId="0" xfId="0" applyFont="1" applyAlignment="1">
      <alignment horizontal="left"/>
    </xf>
    <xf numFmtId="0" fontId="1" fillId="0" borderId="0" xfId="0" applyFont="1" applyAlignment="1">
      <alignment horizontal="center"/>
    </xf>
    <xf numFmtId="0" fontId="0" fillId="0" borderId="0" xfId="0" applyAlignment="1">
      <alignment wrapText="1"/>
    </xf>
    <xf numFmtId="0" fontId="0" fillId="0" borderId="0" xfId="0" applyAlignment="1">
      <alignment horizontal="left" vertical="center" wrapText="1" indent="3"/>
    </xf>
    <xf numFmtId="0" fontId="0" fillId="0" borderId="0" xfId="0" applyAlignment="1">
      <alignment horizontal="left" vertical="center" wrapText="1"/>
    </xf>
    <xf numFmtId="11" fontId="0" fillId="0" borderId="0" xfId="0" applyNumberFormat="1"/>
    <xf numFmtId="0" fontId="0" fillId="2" borderId="0" xfId="0" applyFill="1"/>
    <xf numFmtId="0" fontId="1" fillId="0" borderId="0" xfId="0" applyFont="1" applyAlignment="1">
      <alignment horizontal="center"/>
    </xf>
    <xf numFmtId="0" fontId="2"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3.xml"/><Relationship Id="rId10" Type="http://schemas.microsoft.com/office/2006/relationships/vbaProject" Target="vbaProject.bin"/><Relationship Id="rId4" Type="http://schemas.openxmlformats.org/officeDocument/2006/relationships/externalLink" Target="externalLinks/externalLink2.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orales/AppData/Roaming/Microsoft/Suplementos/The_Engineering_Box_v1.01.xla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orales/AppData/Roaming/Microsoft/Suplementos/The_Engineering_Box_v1.02.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orales/Documents/GitHub/TheEngineeringBox/distro/The_Engineering_Box_v1.03.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3"/>
      <sheetName val="The_Engineering_Box_v1.01"/>
    </sheetNames>
    <definedNames>
      <definedName name="airViscosity"/>
      <definedName name="archimedesNumber"/>
      <definedName name="atmToPa"/>
      <definedName name="barToPa"/>
      <definedName name="feetToMeter"/>
      <definedName name="gravity"/>
      <definedName name="idealGasDensity"/>
      <definedName name="inchToMeter"/>
      <definedName name="KelvinToCelsius"/>
      <definedName name="KgToNm3"/>
      <definedName name="m3ToNm3"/>
      <definedName name="meterToFeet"/>
      <definedName name="meterToInch"/>
      <definedName name="molarGasConstant"/>
      <definedName name="NLToM3"/>
      <definedName name="Nm3ToM3"/>
      <definedName name="paToAtm"/>
      <definedName name="paToBar"/>
      <definedName name="paToMbar"/>
      <definedName name="PaToMmH20"/>
      <definedName name="reynoldsNumber"/>
      <definedName name="stefanBoltzmann"/>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3"/>
      <sheetName val="The_Engineering_Box_v1.02"/>
    </sheetNames>
    <definedNames>
      <definedName name="airViscosity"/>
      <definedName name="arrheniusEquation"/>
      <definedName name="CelsiusToKelvin"/>
      <definedName name="centipoiseToPas"/>
      <definedName name="circleArea"/>
      <definedName name="circlePerimeter"/>
      <definedName name="cylinderArea"/>
      <definedName name="cylinderVolume"/>
      <definedName name="ellipseArea"/>
      <definedName name="ellipsePerimeter"/>
      <definedName name="FahrenheitToCelsius"/>
      <definedName name="FahrenheitToKelvin"/>
      <definedName name="fluidMassFlow"/>
      <definedName name="fluidVelocity"/>
      <definedName name="KelvinToCelsius"/>
      <definedName name="KelvinToRankine"/>
      <definedName name="mmH20ToPa"/>
      <definedName name="PasToCentipoise"/>
      <definedName name="PaToPsi"/>
      <definedName name="PressureLossErgun"/>
      <definedName name="PsiToPa"/>
      <definedName name="RankineToCelsius"/>
      <definedName name="specificSurfaceArea"/>
      <definedName name="sphereArea"/>
      <definedName name="sphereVolume"/>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s>
    <definedNames>
      <definedName name="atmToPa"/>
      <definedName name="geldartGroup"/>
      <definedName name="m3ToKg"/>
      <definedName name="m3ToLiter"/>
      <definedName name="minimumFluidisationVelocity"/>
      <definedName name="porousCoefficientAlfa"/>
      <definedName name="porousCoefficientC2"/>
      <definedName name="terminalVelocity"/>
    </definedNames>
    <sheetDataSet>
      <sheetData sheetId="0"/>
      <sheetData sheetId="1"/>
      <sheetData sheetId="2"/>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C72"/>
  <sheetViews>
    <sheetView tabSelected="1" topLeftCell="A61" workbookViewId="0">
      <selection activeCell="E46" sqref="E46"/>
    </sheetView>
  </sheetViews>
  <sheetFormatPr defaultRowHeight="15" x14ac:dyDescent="0.25"/>
  <cols>
    <col min="1" max="1" width="49" customWidth="1"/>
    <col min="2" max="2" width="12" bestFit="1" customWidth="1"/>
    <col min="6" max="6" width="12" bestFit="1" customWidth="1"/>
    <col min="11" max="11" width="12" bestFit="1" customWidth="1"/>
  </cols>
  <sheetData>
    <row r="1" spans="1:3" ht="18.75" x14ac:dyDescent="0.3">
      <c r="A1" s="11" t="s">
        <v>4</v>
      </c>
      <c r="B1" s="11"/>
    </row>
    <row r="2" spans="1:3" ht="18.75" x14ac:dyDescent="0.3">
      <c r="A2" s="11" t="s">
        <v>5</v>
      </c>
      <c r="B2" s="11"/>
    </row>
    <row r="4" spans="1:3" x14ac:dyDescent="0.25">
      <c r="A4" s="10" t="s">
        <v>7</v>
      </c>
      <c r="B4" s="10"/>
    </row>
    <row r="5" spans="1:3" x14ac:dyDescent="0.25">
      <c r="A5" s="1" t="s">
        <v>0</v>
      </c>
      <c r="B5" s="1" t="s">
        <v>1</v>
      </c>
      <c r="C5" s="4" t="s">
        <v>54</v>
      </c>
    </row>
    <row r="6" spans="1:3" x14ac:dyDescent="0.25">
      <c r="A6" t="s">
        <v>2</v>
      </c>
      <c r="B6">
        <f>[1]!gravity()</f>
        <v>9.8066499999999994</v>
      </c>
    </row>
    <row r="7" spans="1:3" x14ac:dyDescent="0.25">
      <c r="A7" t="s">
        <v>3</v>
      </c>
      <c r="B7">
        <f>[1]!molarGasConstant()</f>
        <v>8.3144621000000001</v>
      </c>
    </row>
    <row r="8" spans="1:3" x14ac:dyDescent="0.25">
      <c r="A8" t="s">
        <v>6</v>
      </c>
      <c r="B8">
        <f>[1]!stefanBoltzmann()</f>
        <v>5.6703729999999996E-8</v>
      </c>
    </row>
    <row r="10" spans="1:3" x14ac:dyDescent="0.25">
      <c r="A10" s="10" t="s">
        <v>8</v>
      </c>
      <c r="B10" s="10"/>
    </row>
    <row r="11" spans="1:3" x14ac:dyDescent="0.25">
      <c r="A11" s="1" t="s">
        <v>0</v>
      </c>
      <c r="B11" s="1" t="s">
        <v>1</v>
      </c>
      <c r="C11" s="4" t="s">
        <v>54</v>
      </c>
    </row>
    <row r="12" spans="1:3" x14ac:dyDescent="0.25">
      <c r="A12" t="s">
        <v>9</v>
      </c>
      <c r="B12">
        <f>[1]!archimedesNumber(0.001, 1000, 1.225, 0.001)</f>
        <v>11.998430145843752</v>
      </c>
    </row>
    <row r="13" spans="1:3" x14ac:dyDescent="0.25">
      <c r="A13" t="s">
        <v>10</v>
      </c>
      <c r="B13">
        <f>[1]!reynoldsNumber(2.5, 1, 5.66, 0.001)</f>
        <v>14150</v>
      </c>
    </row>
    <row r="15" spans="1:3" x14ac:dyDescent="0.25">
      <c r="A15" s="10" t="s">
        <v>11</v>
      </c>
      <c r="B15" s="10"/>
    </row>
    <row r="16" spans="1:3" x14ac:dyDescent="0.25">
      <c r="A16" s="1" t="s">
        <v>0</v>
      </c>
      <c r="B16" s="1" t="s">
        <v>1</v>
      </c>
      <c r="C16" s="4" t="s">
        <v>54</v>
      </c>
    </row>
    <row r="17" spans="1:3" x14ac:dyDescent="0.25">
      <c r="A17" s="3" t="s">
        <v>17</v>
      </c>
      <c r="B17" s="2">
        <f>[1]!airViscosity(23)</f>
        <v>1.851752249099986E-5</v>
      </c>
    </row>
    <row r="18" spans="1:3" x14ac:dyDescent="0.25">
      <c r="A18" t="s">
        <v>12</v>
      </c>
      <c r="B18">
        <f>[1]!idealGasDensity(31, 101325, [1]!KelvinToCelsius(3000))</f>
        <v>0.12592820219232517</v>
      </c>
    </row>
    <row r="19" spans="1:3" x14ac:dyDescent="0.25">
      <c r="A19" t="s">
        <v>36</v>
      </c>
      <c r="B19">
        <f>[2]!specificSurfaceArea(0.001,0.15)</f>
        <v>5100</v>
      </c>
      <c r="C19">
        <v>1.02</v>
      </c>
    </row>
    <row r="20" spans="1:3" x14ac:dyDescent="0.25">
      <c r="A20" t="s">
        <v>37</v>
      </c>
      <c r="B20">
        <f>[2]!PressureLossErgun(0.01, 1, 0.4, 0.01, 1, 0.005, 0.5)</f>
        <v>211.01953124999994</v>
      </c>
      <c r="C20">
        <v>1.02</v>
      </c>
    </row>
    <row r="21" spans="1:3" x14ac:dyDescent="0.25">
      <c r="A21" t="s">
        <v>38</v>
      </c>
      <c r="B21">
        <f>[2]!arrheniusEquation(1,1,1)</f>
        <v>5.8393355413997939E-53</v>
      </c>
      <c r="C21">
        <v>1.02</v>
      </c>
    </row>
    <row r="22" spans="1:3" x14ac:dyDescent="0.25">
      <c r="A22" t="s">
        <v>39</v>
      </c>
      <c r="B22">
        <f>[2]!fluidMassFlow(1000, 2, 0.5)</f>
        <v>1000</v>
      </c>
      <c r="C22">
        <v>1.02</v>
      </c>
    </row>
    <row r="23" spans="1:3" x14ac:dyDescent="0.25">
      <c r="A23" t="s">
        <v>40</v>
      </c>
      <c r="B23">
        <f>[2]!fluidVelocity(1000, 1,0.5)</f>
        <v>2E-3</v>
      </c>
      <c r="C23">
        <v>1.02</v>
      </c>
    </row>
    <row r="24" spans="1:3" x14ac:dyDescent="0.25">
      <c r="A24" t="s">
        <v>68</v>
      </c>
      <c r="B24" t="str">
        <f>[3]!geldartGroup(0.0001,2000,1)</f>
        <v>A</v>
      </c>
      <c r="C24" s="9">
        <v>1.03</v>
      </c>
    </row>
    <row r="25" spans="1:3" x14ac:dyDescent="0.25">
      <c r="A25" t="s">
        <v>69</v>
      </c>
      <c r="B25">
        <f>minimumFluidisationVelocity(0.0002,2500,1.125,0.000018)</f>
        <v>3.2765880589490162E-2</v>
      </c>
      <c r="C25" s="9">
        <v>1.03</v>
      </c>
    </row>
    <row r="26" spans="1:3" x14ac:dyDescent="0.25">
      <c r="A26" t="s">
        <v>75</v>
      </c>
      <c r="B26">
        <f>[3]!terminalVelocity(0.0002, 3000, 1000, 0.001)</f>
        <v>2.8854354868756316E-2</v>
      </c>
      <c r="C26" s="9">
        <v>1.03</v>
      </c>
    </row>
    <row r="27" spans="1:3" x14ac:dyDescent="0.25">
      <c r="A27" t="s">
        <v>70</v>
      </c>
      <c r="B27" s="8">
        <f>[3]!porousCoefficientAlfa(0.0001,0.4)</f>
        <v>84374999999.999954</v>
      </c>
      <c r="C27" s="9">
        <v>1.03</v>
      </c>
    </row>
    <row r="28" spans="1:3" x14ac:dyDescent="0.25">
      <c r="A28" t="s">
        <v>71</v>
      </c>
      <c r="B28" s="8">
        <f>[3]!porousCoefficientC2(0.0001,0.4)</f>
        <v>328124.99999999988</v>
      </c>
      <c r="C28" s="9">
        <v>1.03</v>
      </c>
    </row>
    <row r="30" spans="1:3" x14ac:dyDescent="0.25">
      <c r="A30" s="10" t="s">
        <v>18</v>
      </c>
      <c r="B30" s="10"/>
    </row>
    <row r="31" spans="1:3" x14ac:dyDescent="0.25">
      <c r="A31" s="1" t="s">
        <v>0</v>
      </c>
      <c r="B31" s="1" t="s">
        <v>1</v>
      </c>
      <c r="C31" s="4" t="s">
        <v>54</v>
      </c>
    </row>
    <row r="33" spans="1:3" x14ac:dyDescent="0.25">
      <c r="A33" t="s">
        <v>13</v>
      </c>
      <c r="B33">
        <f>[1]!feetToMeter(105)</f>
        <v>32.004000000000005</v>
      </c>
    </row>
    <row r="34" spans="1:3" x14ac:dyDescent="0.25">
      <c r="A34" t="s">
        <v>14</v>
      </c>
      <c r="B34">
        <f>[1]!meterToFeet(213)</f>
        <v>698.81040000000007</v>
      </c>
    </row>
    <row r="35" spans="1:3" x14ac:dyDescent="0.25">
      <c r="A35" t="s">
        <v>15</v>
      </c>
      <c r="B35">
        <f>[1]!meterToInch(2134)</f>
        <v>84015.748031496056</v>
      </c>
    </row>
    <row r="36" spans="1:3" x14ac:dyDescent="0.25">
      <c r="A36" t="s">
        <v>16</v>
      </c>
      <c r="B36">
        <f>[1]!inchToMeter(886)</f>
        <v>22.5044</v>
      </c>
    </row>
    <row r="37" spans="1:3" x14ac:dyDescent="0.25">
      <c r="A37" t="s">
        <v>19</v>
      </c>
      <c r="B37">
        <f>[1]!m3ToNm3(5,600, 101325)</f>
        <v>2.2762499999999997</v>
      </c>
    </row>
    <row r="38" spans="1:3" x14ac:dyDescent="0.25">
      <c r="A38" t="s">
        <v>20</v>
      </c>
      <c r="B38">
        <f>[1]!Nm3ToM3(5,373,101325)</f>
        <v>6.8277503203368122</v>
      </c>
    </row>
    <row r="39" spans="1:3" x14ac:dyDescent="0.25">
      <c r="A39" t="s">
        <v>22</v>
      </c>
      <c r="B39">
        <f>[1]!NLToM3(1,273,101325)</f>
        <v>1.66575141863445E-5</v>
      </c>
    </row>
    <row r="40" spans="1:3" x14ac:dyDescent="0.25">
      <c r="A40" t="s">
        <v>21</v>
      </c>
      <c r="B40">
        <f>[1]!KgToNm3(1000, 28.97)</f>
        <v>773.55885398688304</v>
      </c>
    </row>
    <row r="41" spans="1:3" x14ac:dyDescent="0.25">
      <c r="A41" t="s">
        <v>72</v>
      </c>
      <c r="B41">
        <f>literToM3(1000)</f>
        <v>1</v>
      </c>
      <c r="C41" s="9">
        <v>1.03</v>
      </c>
    </row>
    <row r="42" spans="1:3" x14ac:dyDescent="0.25">
      <c r="A42" t="s">
        <v>73</v>
      </c>
      <c r="B42">
        <f>[3]!m3ToLiter(4)</f>
        <v>4000</v>
      </c>
      <c r="C42" s="9">
        <v>1.03</v>
      </c>
    </row>
    <row r="43" spans="1:3" x14ac:dyDescent="0.25">
      <c r="A43" t="s">
        <v>74</v>
      </c>
      <c r="B43">
        <f>[3]!m3ToKg(1,273,[3]!atmToPa(1),28.97)</f>
        <v>1.2935268360270538</v>
      </c>
      <c r="C43" s="9">
        <v>1.03</v>
      </c>
    </row>
    <row r="45" spans="1:3" x14ac:dyDescent="0.25">
      <c r="A45" t="s">
        <v>23</v>
      </c>
      <c r="B45">
        <f>[1]!paToMbar(101325)</f>
        <v>1013.25</v>
      </c>
    </row>
    <row r="46" spans="1:3" x14ac:dyDescent="0.25">
      <c r="A46" t="s">
        <v>24</v>
      </c>
      <c r="B46">
        <f>[1]!PaToMmH20(101325)</f>
        <v>10332.51555</v>
      </c>
    </row>
    <row r="47" spans="1:3" x14ac:dyDescent="0.25">
      <c r="A47" t="s">
        <v>31</v>
      </c>
      <c r="B47">
        <f>[2]!mmH20ToPa(100)</f>
        <v>980.64199999999994</v>
      </c>
    </row>
    <row r="48" spans="1:3" x14ac:dyDescent="0.25">
      <c r="A48" t="s">
        <v>25</v>
      </c>
      <c r="B48">
        <f>[1]!paToAtm(101325)</f>
        <v>0.99975333004440048</v>
      </c>
    </row>
    <row r="49" spans="1:3" x14ac:dyDescent="0.25">
      <c r="A49" t="s">
        <v>26</v>
      </c>
      <c r="B49">
        <f>[1]!atmToPa(1)</f>
        <v>101350</v>
      </c>
    </row>
    <row r="50" spans="1:3" x14ac:dyDescent="0.25">
      <c r="A50" t="s">
        <v>27</v>
      </c>
      <c r="B50">
        <f>[1]!paToBar(101325)</f>
        <v>1.01325</v>
      </c>
    </row>
    <row r="51" spans="1:3" x14ac:dyDescent="0.25">
      <c r="A51" t="s">
        <v>28</v>
      </c>
      <c r="B51">
        <f>[1]!barToPa(1)</f>
        <v>100000</v>
      </c>
    </row>
    <row r="52" spans="1:3" x14ac:dyDescent="0.25">
      <c r="A52" t="s">
        <v>43</v>
      </c>
      <c r="B52">
        <f>[2]!PaToPsi(101325)</f>
        <v>14.695949400392211</v>
      </c>
      <c r="C52">
        <v>1.02</v>
      </c>
    </row>
    <row r="53" spans="1:3" x14ac:dyDescent="0.25">
      <c r="A53" t="s">
        <v>44</v>
      </c>
      <c r="B53">
        <f>[2]!PsiToPa(1)</f>
        <v>6894.7570000000005</v>
      </c>
      <c r="C53">
        <v>1.02</v>
      </c>
    </row>
    <row r="54" spans="1:3" x14ac:dyDescent="0.25">
      <c r="A54" t="s">
        <v>29</v>
      </c>
      <c r="B54">
        <f>[2]!KelvinToCelsius(303)</f>
        <v>29.850000000000023</v>
      </c>
    </row>
    <row r="55" spans="1:3" x14ac:dyDescent="0.25">
      <c r="A55" t="s">
        <v>30</v>
      </c>
      <c r="B55">
        <f>[2]!CelsiusToKelvin(100)</f>
        <v>373.15</v>
      </c>
    </row>
    <row r="56" spans="1:3" x14ac:dyDescent="0.25">
      <c r="A56" t="s">
        <v>32</v>
      </c>
      <c r="B56">
        <f>[2]!KelvinToRankine(273.15)</f>
        <v>491.66999999999996</v>
      </c>
    </row>
    <row r="57" spans="1:3" x14ac:dyDescent="0.25">
      <c r="A57" t="s">
        <v>33</v>
      </c>
      <c r="B57">
        <f>[2]!RankineToCelsius(500)</f>
        <v>4.6277777777777693</v>
      </c>
    </row>
    <row r="58" spans="1:3" x14ac:dyDescent="0.25">
      <c r="A58" t="s">
        <v>34</v>
      </c>
      <c r="B58">
        <f>[2]!FahrenheitToCelsius(100)</f>
        <v>37.777777777777779</v>
      </c>
    </row>
    <row r="59" spans="1:3" x14ac:dyDescent="0.25">
      <c r="A59" t="s">
        <v>35</v>
      </c>
      <c r="B59">
        <f>[2]!FahrenheitToKelvin(222)</f>
        <v>378.70555555555558</v>
      </c>
    </row>
    <row r="60" spans="1:3" x14ac:dyDescent="0.25">
      <c r="A60" t="s">
        <v>41</v>
      </c>
      <c r="B60">
        <f>[2]!PasToCentipoise(1)</f>
        <v>1000</v>
      </c>
      <c r="C60">
        <v>1.02</v>
      </c>
    </row>
    <row r="61" spans="1:3" x14ac:dyDescent="0.25">
      <c r="A61" t="s">
        <v>42</v>
      </c>
      <c r="B61">
        <f>[2]!centipoiseToPas(1)</f>
        <v>1E-3</v>
      </c>
      <c r="C61">
        <v>1.02</v>
      </c>
    </row>
    <row r="63" spans="1:3" x14ac:dyDescent="0.25">
      <c r="A63" s="10" t="s">
        <v>45</v>
      </c>
      <c r="B63" s="10"/>
    </row>
    <row r="64" spans="1:3" x14ac:dyDescent="0.25">
      <c r="A64" s="4" t="s">
        <v>0</v>
      </c>
      <c r="B64" s="4" t="s">
        <v>1</v>
      </c>
      <c r="C64" s="4" t="s">
        <v>54</v>
      </c>
    </row>
    <row r="65" spans="1:3" x14ac:dyDescent="0.25">
      <c r="A65" t="s">
        <v>46</v>
      </c>
      <c r="B65">
        <f>[2]!circleArea(2)</f>
        <v>3.1415926500000002</v>
      </c>
      <c r="C65">
        <v>1.02</v>
      </c>
    </row>
    <row r="66" spans="1:3" x14ac:dyDescent="0.25">
      <c r="A66" t="s">
        <v>47</v>
      </c>
      <c r="B66">
        <f>[2]!circlePerimeter(2)</f>
        <v>6.2831853000000004</v>
      </c>
      <c r="C66">
        <v>1.02</v>
      </c>
    </row>
    <row r="67" spans="1:3" x14ac:dyDescent="0.25">
      <c r="A67" t="s">
        <v>48</v>
      </c>
      <c r="B67">
        <f>[2]!ellipseArea(1,2)</f>
        <v>6.2831853000000004</v>
      </c>
      <c r="C67">
        <v>1.02</v>
      </c>
    </row>
    <row r="68" spans="1:3" x14ac:dyDescent="0.25">
      <c r="A68" t="s">
        <v>49</v>
      </c>
      <c r="B68">
        <f>[2]!ellipsePerimeter(1,2)</f>
        <v>9.6884210866006519</v>
      </c>
      <c r="C68">
        <v>1.02</v>
      </c>
    </row>
    <row r="69" spans="1:3" x14ac:dyDescent="0.25">
      <c r="A69" t="s">
        <v>50</v>
      </c>
      <c r="B69">
        <f>[2]!cylinderVolume(1,2)</f>
        <v>1.5707963250000001</v>
      </c>
      <c r="C69">
        <v>1.02</v>
      </c>
    </row>
    <row r="70" spans="1:3" x14ac:dyDescent="0.25">
      <c r="A70" t="s">
        <v>51</v>
      </c>
      <c r="B70">
        <f>[2]!cylinderArea(9,2)</f>
        <v>183.783170025</v>
      </c>
      <c r="C70">
        <v>1.02</v>
      </c>
    </row>
    <row r="71" spans="1:3" x14ac:dyDescent="0.25">
      <c r="A71" t="s">
        <v>52</v>
      </c>
      <c r="B71">
        <f>[2]!sphereVolume(15)</f>
        <v>1767.1458656250002</v>
      </c>
      <c r="C71">
        <v>1.02</v>
      </c>
    </row>
    <row r="72" spans="1:3" x14ac:dyDescent="0.25">
      <c r="A72" t="s">
        <v>53</v>
      </c>
      <c r="B72">
        <f>[2]!sphereArea(11)</f>
        <v>380.13271065000004</v>
      </c>
      <c r="C72">
        <v>1.02</v>
      </c>
    </row>
  </sheetData>
  <mergeCells count="7">
    <mergeCell ref="A63:B63"/>
    <mergeCell ref="A30:B30"/>
    <mergeCell ref="A4:B4"/>
    <mergeCell ref="A10:B10"/>
    <mergeCell ref="A1:B1"/>
    <mergeCell ref="A2:B2"/>
    <mergeCell ref="A15:B15"/>
  </mergeCells>
  <conditionalFormatting sqref="C1:C1048576">
    <cfRule type="colorScale" priority="1">
      <colorScale>
        <cfvo type="min"/>
        <cfvo type="percentile" val="50"/>
        <cfvo type="max"/>
        <color rgb="FFF8696B"/>
        <color rgb="FFFCFCFF"/>
        <color rgb="FF5A8AC6"/>
      </colorScale>
    </cfRule>
  </conditionalFormatting>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I8"/>
  <sheetViews>
    <sheetView workbookViewId="0">
      <selection activeCell="A6" sqref="A6"/>
    </sheetView>
  </sheetViews>
  <sheetFormatPr defaultRowHeight="15" x14ac:dyDescent="0.25"/>
  <cols>
    <col min="1" max="1" width="82.5703125" style="5" customWidth="1"/>
    <col min="2" max="2" width="14.7109375" customWidth="1"/>
    <col min="6" max="6" width="12" bestFit="1" customWidth="1"/>
    <col min="7" max="7" width="11" customWidth="1"/>
    <col min="8" max="8" width="15.5703125" customWidth="1"/>
  </cols>
  <sheetData>
    <row r="1" spans="1:9" ht="45" x14ac:dyDescent="0.25">
      <c r="A1" s="5" t="s">
        <v>55</v>
      </c>
      <c r="B1" s="5" t="s">
        <v>59</v>
      </c>
      <c r="C1" s="5" t="s">
        <v>56</v>
      </c>
      <c r="D1" s="5" t="s">
        <v>57</v>
      </c>
      <c r="E1" s="5" t="s">
        <v>58</v>
      </c>
      <c r="F1" s="5" t="s">
        <v>60</v>
      </c>
      <c r="G1" s="5" t="s">
        <v>65</v>
      </c>
      <c r="H1" s="5" t="s">
        <v>0</v>
      </c>
      <c r="I1" s="5" t="s">
        <v>62</v>
      </c>
    </row>
    <row r="2" spans="1:9" ht="30" x14ac:dyDescent="0.25">
      <c r="A2" s="7" t="s">
        <v>61</v>
      </c>
      <c r="B2">
        <v>0.4</v>
      </c>
      <c r="C2" s="8">
        <v>5.4000000000000001E-4</v>
      </c>
      <c r="D2">
        <v>2632</v>
      </c>
      <c r="E2">
        <v>1</v>
      </c>
      <c r="F2">
        <f>[2]!airViscosity(25)</f>
        <v>1.8615979546772814E-5</v>
      </c>
      <c r="G2" t="str">
        <f>[3]!geldartGroup(C2,D2,E2)</f>
        <v>B</v>
      </c>
      <c r="H2">
        <f t="shared" ref="H2:H8" si="0">[3]!minimumFluidisationVelocity(C2,D2,E2,F2)</f>
        <v>0.22320705711644193</v>
      </c>
      <c r="I2">
        <f t="shared" ref="I2:I8" si="1">(H2-B2)*100/B2</f>
        <v>-44.198235720889521</v>
      </c>
    </row>
    <row r="3" spans="1:9" ht="45" x14ac:dyDescent="0.25">
      <c r="A3" s="6" t="s">
        <v>63</v>
      </c>
      <c r="B3">
        <v>6.5000000000000002E-2</v>
      </c>
      <c r="C3" s="8">
        <v>2.7500000000000002E-4</v>
      </c>
      <c r="D3">
        <v>2500</v>
      </c>
      <c r="E3">
        <v>1.2250000000000001</v>
      </c>
      <c r="F3" s="8">
        <v>1.485E-5</v>
      </c>
      <c r="G3" t="str">
        <f t="shared" ref="G3:G4" si="2">[3]!geldartGroup(C3,D3,E3)</f>
        <v>B</v>
      </c>
      <c r="H3">
        <f t="shared" si="0"/>
        <v>7.3712932568146289E-2</v>
      </c>
      <c r="I3">
        <f t="shared" si="1"/>
        <v>13.404511643301978</v>
      </c>
    </row>
    <row r="4" spans="1:9" ht="45" x14ac:dyDescent="0.25">
      <c r="A4" s="5" t="s">
        <v>64</v>
      </c>
      <c r="B4">
        <v>0.84</v>
      </c>
      <c r="C4" s="8">
        <v>1E-3</v>
      </c>
      <c r="D4">
        <v>1600</v>
      </c>
      <c r="E4">
        <v>1</v>
      </c>
      <c r="F4">
        <f>[2]!airViscosity(25)</f>
        <v>1.8615979546772814E-5</v>
      </c>
      <c r="G4" t="str">
        <f t="shared" si="2"/>
        <v>D</v>
      </c>
      <c r="H4">
        <f t="shared" si="0"/>
        <v>0.38918302883849543</v>
      </c>
      <c r="I4">
        <f t="shared" si="1"/>
        <v>-53.66868704303625</v>
      </c>
    </row>
    <row r="5" spans="1:9" ht="45" x14ac:dyDescent="0.25">
      <c r="A5" s="5" t="s">
        <v>64</v>
      </c>
      <c r="B5" s="8">
        <v>1.18</v>
      </c>
      <c r="C5" s="8">
        <v>2.5000000000000001E-3</v>
      </c>
      <c r="D5">
        <v>1600</v>
      </c>
      <c r="E5">
        <v>1</v>
      </c>
      <c r="F5">
        <f>[2]!airViscosity(25)</f>
        <v>1.8615979546772814E-5</v>
      </c>
      <c r="G5" t="str">
        <f t="shared" ref="G5" si="3">[3]!geldartGroup(C5,D5,E5)</f>
        <v>D</v>
      </c>
      <c r="H5">
        <f t="shared" si="0"/>
        <v>1.0384043354046182</v>
      </c>
      <c r="I5">
        <f t="shared" si="1"/>
        <v>-11.999632592828963</v>
      </c>
    </row>
    <row r="6" spans="1:9" ht="60" x14ac:dyDescent="0.25">
      <c r="A6" s="5" t="s">
        <v>66</v>
      </c>
      <c r="B6">
        <v>0.18</v>
      </c>
      <c r="C6" s="8">
        <v>5.0000000000000001E-4</v>
      </c>
      <c r="D6">
        <v>2500</v>
      </c>
      <c r="E6">
        <v>1</v>
      </c>
      <c r="F6">
        <f t="shared" ref="F6:F7" si="4">[2]!airViscosity(25)</f>
        <v>1.8615979546772814E-5</v>
      </c>
      <c r="G6" t="str">
        <f t="shared" ref="G6" si="5">[3]!geldartGroup(C6,D6,E6)</f>
        <v>B</v>
      </c>
      <c r="H6">
        <f t="shared" si="0"/>
        <v>0.18551000865859957</v>
      </c>
      <c r="I6">
        <f t="shared" si="1"/>
        <v>3.0611159214442081</v>
      </c>
    </row>
    <row r="7" spans="1:9" ht="60" x14ac:dyDescent="0.25">
      <c r="A7" s="5" t="s">
        <v>66</v>
      </c>
      <c r="B7">
        <v>0.24</v>
      </c>
      <c r="C7" s="8">
        <v>1.1000000000000001E-3</v>
      </c>
      <c r="D7">
        <v>800</v>
      </c>
      <c r="E7">
        <v>1</v>
      </c>
      <c r="F7">
        <f t="shared" si="4"/>
        <v>1.8615979546772814E-5</v>
      </c>
      <c r="G7" t="str">
        <f t="shared" ref="G7" si="6">[3]!geldartGroup(C7,D7,E7)</f>
        <v>D</v>
      </c>
      <c r="H7">
        <f t="shared" si="0"/>
        <v>0.25243133141529889</v>
      </c>
      <c r="I7">
        <f t="shared" si="1"/>
        <v>5.1797214230412072</v>
      </c>
    </row>
    <row r="8" spans="1:9" ht="30" x14ac:dyDescent="0.25">
      <c r="A8" s="5" t="s">
        <v>67</v>
      </c>
      <c r="B8">
        <v>0.19500000000000001</v>
      </c>
      <c r="C8" s="8">
        <v>5.5000000000000003E-4</v>
      </c>
      <c r="D8">
        <v>2600</v>
      </c>
      <c r="E8">
        <v>2.4</v>
      </c>
      <c r="F8">
        <f>[2]!airViscosity(35)</f>
        <v>1.9103634329447387E-5</v>
      </c>
      <c r="G8" t="str">
        <f t="shared" ref="G8" si="7">[3]!geldartGroup(C8,D8,E8)</f>
        <v>B</v>
      </c>
      <c r="H8">
        <f t="shared" si="0"/>
        <v>0.20224359487254845</v>
      </c>
      <c r="I8">
        <f t="shared" si="1"/>
        <v>3.7146640372043294</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Plan1</vt:lpstr>
      <vt:lpstr>fluidisation vel</vt:lpstr>
    </vt:vector>
  </TitlesOfParts>
  <Company>Hewlett-Packard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Morales</dc:creator>
  <cp:lastModifiedBy>Morales</cp:lastModifiedBy>
  <dcterms:created xsi:type="dcterms:W3CDTF">2013-05-01T13:10:29Z</dcterms:created>
  <dcterms:modified xsi:type="dcterms:W3CDTF">2013-07-08T20:52:26Z</dcterms:modified>
</cp:coreProperties>
</file>